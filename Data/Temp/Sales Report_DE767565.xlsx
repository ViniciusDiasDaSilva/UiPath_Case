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ii\OneDrive\Documentos\UiPath\NubankRpaCase\Data\Temp\"/>
    </mc:Choice>
  </mc:AlternateContent>
  <xr:revisionPtr revIDLastSave="0" documentId="13_ncr:1_{6AA6C657-4AAD-456C-8917-B9F9421A37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767565" sheetId="2" r:id="rId1"/>
    <sheet name="{ID_VENDOR}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1" i="1"/>
  <c r="G27" i="1" s="1"/>
  <c r="G20" i="1"/>
  <c r="G19" i="1"/>
  <c r="G18" i="1"/>
  <c r="G30" i="1" l="1"/>
  <c r="G31" i="1" s="1"/>
  <c r="B28" i="1" s="1"/>
</calcChain>
</file>

<file path=xl/sharedStrings.xml><?xml version="1.0" encoding="utf-8"?>
<sst xmlns="http://schemas.openxmlformats.org/spreadsheetml/2006/main" count="23" uniqueCount="23">
  <si>
    <t>SALES REPORT</t>
  </si>
  <si>
    <t>ID VENDOR</t>
  </si>
  <si>
    <t>DATE</t>
  </si>
  <si>
    <t>[D0]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</si>
  <si>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</si>
  <si>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</si>
  <si>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</si>
  <si>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</si>
  <si>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</si>
  <si>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</si>
  <si>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</si>
  <si>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</si>
  <si>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</si>
  <si>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</si>
  <si>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</si>
  <si>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Please, GENERATE INVOICES by MM/DD/YYYY</t>
  </si>
  <si>
    <t>TIGER SHOP, INC</t>
  </si>
  <si>
    <t>815-250-6051</t>
  </si>
  <si>
    <t>tiger.shop@mail.com</t>
  </si>
  <si>
    <t>DE767565</t>
  </si>
  <si>
    <t>Avenida Senador Queirós</t>
  </si>
  <si>
    <t>Centro, São Paulo/SP</t>
  </si>
  <si>
    <t>663318/Professional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</si>
</sst>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165" fontId="13" fillId="0" borderId="10" xfId="0" applyNumberFormat="1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166" fontId="13" fillId="3" borderId="11" xfId="0" applyNumberFormat="1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166" fontId="5" fillId="3" borderId="11" xfId="0" applyNumberFormat="1" applyFont="1" applyFill="1" applyBorder="1" applyAlignment="1">
      <alignment horizontal="left" vertical="center"/>
    </xf>
    <xf numFmtId="0" fontId="5" fillId="3" borderId="12" xfId="0" applyFont="1" applyFill="1" applyBorder="1" applyAlignment="1">
      <alignment vertical="center"/>
    </xf>
    <xf numFmtId="0" fontId="15" fillId="3" borderId="11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vertical="center"/>
    </xf>
    <xf numFmtId="0" fontId="7" fillId="3" borderId="11" xfId="0" applyFont="1" applyFill="1" applyBorder="1" applyAlignment="1">
      <alignment horizontal="right" vertical="center"/>
    </xf>
    <xf numFmtId="167" fontId="16" fillId="3" borderId="11" xfId="0" applyNumberFormat="1" applyFont="1" applyFill="1" applyBorder="1" applyAlignment="1">
      <alignment horizontal="right" vertical="center"/>
    </xf>
    <xf numFmtId="167" fontId="17" fillId="3" borderId="11" xfId="0" applyNumberFormat="1" applyFont="1" applyFill="1" applyBorder="1" applyAlignment="1">
      <alignment horizontal="right" vertical="center"/>
    </xf>
    <xf numFmtId="165" fontId="3" fillId="3" borderId="11" xfId="0" applyNumberFormat="1" applyFont="1" applyFill="1" applyBorder="1" applyAlignment="1">
      <alignment horizontal="left" vertical="center"/>
    </xf>
    <xf numFmtId="0" fontId="5" fillId="3" borderId="13" xfId="0" applyFont="1" applyFill="1" applyBorder="1" applyAlignment="1">
      <alignment vertical="center"/>
    </xf>
    <xf numFmtId="9" fontId="3" fillId="3" borderId="11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3" fillId="4" borderId="22" xfId="0" applyFont="1" applyFill="1" applyBorder="1"/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5" fillId="0" borderId="10" xfId="0" applyFont="1" applyBorder="1" applyAlignment="1">
      <alignment horizontal="left" vertical="center"/>
    </xf>
    <xf numFmtId="0" fontId="2" fillId="0" borderId="10" xfId="0" applyFont="1" applyBorder="1"/>
    <xf numFmtId="0" fontId="13" fillId="0" borderId="10" xfId="0" applyFont="1" applyBorder="1" applyAlignment="1">
      <alignment vertical="center" wrapText="1"/>
    </xf>
    <xf numFmtId="0" fontId="20" fillId="0" borderId="0" xfId="0" applyFont="1" applyAlignment="1">
      <alignment vertical="top"/>
    </xf>
    <xf numFmtId="0" fontId="7" fillId="4" borderId="16" xfId="0" applyFont="1" applyFill="1" applyBorder="1" applyAlignment="1">
      <alignment vertical="center"/>
    </xf>
    <xf numFmtId="0" fontId="2" fillId="0" borderId="17" xfId="0" applyFont="1" applyBorder="1"/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2" fillId="0" borderId="20" xfId="0" applyFont="1" applyBorder="1"/>
    <xf numFmtId="0" fontId="2" fillId="0" borderId="21" xfId="0" applyFont="1" applyBorder="1"/>
    <xf numFmtId="165" fontId="18" fillId="3" borderId="14" xfId="0" applyNumberFormat="1" applyFont="1" applyFill="1" applyBorder="1" applyAlignment="1">
      <alignment horizontal="left" vertical="top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CD67-7BF9-4259-A4A4-8FE43652EE2C}">
  <dimension ref="B18:F18"/>
  <sheetViews>
    <sheetView tabSelected="1" workbookViewId="0"/>
  </sheetViews>
  <sheetFormatPr defaultRowHeight="12.75"/>
  <sheetData>
    <row r="18" spans="2:6">
      <c r="B18" t="s">
        <v>22</v>
      </c>
      <c r="D18">
        <v>32448.758935999998</v>
      </c>
      <c r="F1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Z1000"/>
  <sheetViews>
    <sheetView showGridLines="0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0.85546875" customWidth="1"/>
    <col min="3" max="3" width="16.85546875" customWidth="1"/>
    <col min="4" max="4" width="18.5703125" customWidth="1"/>
    <col min="5" max="5" width="11.5703125" customWidth="1"/>
    <col min="6" max="6" width="3.42578125" customWidth="1"/>
    <col min="7" max="7" width="16.140625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41" t="s">
        <v>0</v>
      </c>
      <c r="B1" s="42"/>
      <c r="C1" s="42"/>
      <c r="D1" s="42"/>
      <c r="E1" s="42"/>
      <c r="F1" s="42"/>
      <c r="G1" s="42"/>
      <c r="H1" s="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44"/>
      <c r="B2" s="45"/>
      <c r="C2" s="45"/>
      <c r="D2" s="45"/>
      <c r="E2" s="45"/>
      <c r="F2" s="45"/>
      <c r="G2" s="45"/>
      <c r="H2" s="4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44"/>
      <c r="B3" s="45"/>
      <c r="C3" s="45"/>
      <c r="D3" s="45"/>
      <c r="E3" s="45"/>
      <c r="F3" s="45"/>
      <c r="G3" s="45"/>
      <c r="H3" s="4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47"/>
      <c r="B4" s="48"/>
      <c r="C4" s="48"/>
      <c r="D4" s="48"/>
      <c r="E4" s="48"/>
      <c r="F4" s="48"/>
      <c r="G4" s="48"/>
      <c r="H4" s="49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19</v>
      </c>
      <c r="C7" s="7" t="s">
        <v>3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50" t="s">
        <v>20</v>
      </c>
      <c r="C10" s="45"/>
      <c r="D10" s="50"/>
      <c r="E10" s="45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21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17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18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51" t="s">
        <v>4</v>
      </c>
      <c r="C16" s="52"/>
      <c r="D16" s="16" t="s">
        <v>5</v>
      </c>
      <c r="E16" s="53" t="s">
        <v>6</v>
      </c>
      <c r="F16" s="52"/>
      <c r="G16" s="16" t="s">
        <v>7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54"/>
      <c r="D17" s="45"/>
      <c r="E17" s="45"/>
      <c r="F17" s="45"/>
      <c r="G17" s="45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57"/>
      <c r="C18" s="56"/>
      <c r="D18" s="17">
        <v>0</v>
      </c>
      <c r="E18" s="55">
        <v>0</v>
      </c>
      <c r="F18" s="56"/>
      <c r="G18" s="17">
        <f t="shared" ref="G18:G25" si="0">D18*E18</f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8"/>
      <c r="B19" s="57"/>
      <c r="C19" s="56"/>
      <c r="D19" s="19">
        <v>0</v>
      </c>
      <c r="E19" s="55">
        <v>0</v>
      </c>
      <c r="F19" s="56"/>
      <c r="G19" s="17">
        <f t="shared" si="0"/>
        <v>0</v>
      </c>
      <c r="H19" s="2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57"/>
      <c r="C20" s="56"/>
      <c r="D20" s="19">
        <v>0</v>
      </c>
      <c r="E20" s="55">
        <v>0</v>
      </c>
      <c r="F20" s="56"/>
      <c r="G20" s="17">
        <f t="shared" si="0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57"/>
      <c r="C21" s="56"/>
      <c r="D21" s="19">
        <v>0</v>
      </c>
      <c r="E21" s="55">
        <v>0</v>
      </c>
      <c r="F21" s="56"/>
      <c r="G21" s="17">
        <f t="shared" si="0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57"/>
      <c r="C22" s="56"/>
      <c r="D22" s="19">
        <v>0</v>
      </c>
      <c r="E22" s="55">
        <v>0</v>
      </c>
      <c r="F22" s="56"/>
      <c r="G22" s="17">
        <f t="shared" si="0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57"/>
      <c r="C23" s="56"/>
      <c r="D23" s="19">
        <v>0</v>
      </c>
      <c r="E23" s="55">
        <v>0</v>
      </c>
      <c r="F23" s="56"/>
      <c r="G23" s="17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57"/>
      <c r="C24" s="56"/>
      <c r="D24" s="19">
        <v>0</v>
      </c>
      <c r="E24" s="55">
        <v>0</v>
      </c>
      <c r="F24" s="56"/>
      <c r="G24" s="17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57"/>
      <c r="C25" s="56"/>
      <c r="D25" s="19">
        <v>0</v>
      </c>
      <c r="E25" s="55">
        <v>0</v>
      </c>
      <c r="F25" s="56"/>
      <c r="G25" s="17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6"/>
      <c r="C26" s="21"/>
      <c r="D26" s="22"/>
      <c r="E26" s="23"/>
      <c r="F26" s="23"/>
      <c r="G26" s="24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25"/>
      <c r="B27" s="26" t="s">
        <v>8</v>
      </c>
      <c r="C27" s="27"/>
      <c r="D27" s="28"/>
      <c r="E27" s="29" t="s">
        <v>9</v>
      </c>
      <c r="F27" s="30"/>
      <c r="G27" s="31">
        <f>SUM(G18:G25)</f>
        <v>0</v>
      </c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5"/>
      <c r="B28" s="65">
        <f>G31</f>
        <v>0</v>
      </c>
      <c r="C28" s="27"/>
      <c r="D28" s="28"/>
      <c r="E28" s="29" t="s">
        <v>10</v>
      </c>
      <c r="F28" s="30"/>
      <c r="G28" s="31">
        <v>0</v>
      </c>
      <c r="H28" s="3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5"/>
      <c r="B29" s="66"/>
      <c r="C29" s="27"/>
      <c r="D29" s="28"/>
      <c r="E29" s="29" t="s">
        <v>11</v>
      </c>
      <c r="F29" s="30"/>
      <c r="G29" s="33">
        <v>0</v>
      </c>
      <c r="H29" s="3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5"/>
      <c r="B30" s="34"/>
      <c r="C30" s="27"/>
      <c r="D30" s="28"/>
      <c r="E30" s="29" t="s">
        <v>12</v>
      </c>
      <c r="F30" s="30"/>
      <c r="G30" s="31">
        <f>(G27-G28)*G29</f>
        <v>0</v>
      </c>
      <c r="H30" s="3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25"/>
      <c r="B31" s="34"/>
      <c r="C31" s="27"/>
      <c r="D31" s="28"/>
      <c r="E31" s="29" t="s">
        <v>13</v>
      </c>
      <c r="F31" s="30"/>
      <c r="G31" s="31">
        <f>G27-G28+G30</f>
        <v>0</v>
      </c>
      <c r="H31" s="3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1"/>
      <c r="C32" s="1"/>
      <c r="D32" s="1"/>
      <c r="E32" s="1"/>
      <c r="F32" s="1"/>
      <c r="G32" s="1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35"/>
      <c r="B33" s="1"/>
      <c r="C33" s="1"/>
      <c r="D33" s="1"/>
      <c r="E33" s="1"/>
      <c r="F33" s="1"/>
      <c r="G33" s="1"/>
      <c r="H33" s="3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37"/>
      <c r="B34" s="5" t="s">
        <v>14</v>
      </c>
      <c r="C34" s="1"/>
      <c r="D34" s="1"/>
      <c r="E34" s="1"/>
      <c r="F34" s="1"/>
      <c r="G34" s="1"/>
      <c r="H34" s="3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7"/>
      <c r="B35" s="58" t="s">
        <v>15</v>
      </c>
      <c r="C35" s="45"/>
      <c r="D35" s="1"/>
      <c r="E35" s="1"/>
      <c r="F35" s="1"/>
      <c r="G35" s="1"/>
      <c r="H35" s="3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7"/>
      <c r="B36" s="45"/>
      <c r="C36" s="45"/>
      <c r="D36" s="1"/>
      <c r="E36" s="1"/>
      <c r="F36" s="1"/>
      <c r="G36" s="1"/>
      <c r="H36" s="3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37"/>
      <c r="B37" s="1"/>
      <c r="C37" s="1"/>
      <c r="D37" s="1"/>
      <c r="E37" s="1"/>
      <c r="F37" s="1"/>
      <c r="G37" s="1"/>
      <c r="H37" s="3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59"/>
      <c r="B38" s="60"/>
      <c r="C38" s="60"/>
      <c r="D38" s="60"/>
      <c r="E38" s="60"/>
      <c r="F38" s="60"/>
      <c r="G38" s="60"/>
      <c r="H38" s="6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62"/>
      <c r="B39" s="63"/>
      <c r="C39" s="63"/>
      <c r="D39" s="63"/>
      <c r="E39" s="64"/>
      <c r="F39" s="39"/>
      <c r="G39" s="39"/>
      <c r="H39" s="4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DE767565</vt:lpstr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Vinii Dias</cp:lastModifiedBy>
  <dcterms:created xsi:type="dcterms:W3CDTF">2018-11-07T02:00:49Z</dcterms:created>
  <dcterms:modified xsi:type="dcterms:W3CDTF">2026-01-23T09:07:45Z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